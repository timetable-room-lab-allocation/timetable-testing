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in Test Scenarios" sheetId="1" state="visible" r:id="rId1"/>
    <sheet xmlns:r="http://schemas.openxmlformats.org/officeDocument/2006/relationships" name="Coverage Summary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0B4"/>
        <bgColor rgb="FFD9E2F3"/>
      </patternFill>
    </fill>
    <fill>
      <patternFill patternType="solid">
        <fgColor rgb="FFFFE699"/>
        <bgColor rgb="FFFFCC99"/>
      </patternFill>
    </fill>
    <fill>
      <patternFill patternType="solid">
        <fgColor rgb="FFD9E2F3"/>
        <bgColor rgb="FFC6E0B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8" min="1" max="1"/>
    <col width="18" customWidth="1" style="8" min="2" max="2"/>
    <col width="20" customWidth="1" style="8" min="3" max="4"/>
    <col width="34" customWidth="1" style="8" min="5" max="5"/>
    <col width="30" customWidth="1" style="8" min="6" max="6"/>
    <col width="40" customWidth="1" style="8" min="7" max="8"/>
    <col width="10" customWidth="1" style="8" min="9" max="9"/>
  </cols>
  <sheetData>
    <row r="1" ht="30" customHeight="1" s="9">
      <c r="A1" s="10" t="inlineStr">
        <is>
          <t>Scenario ID</t>
        </is>
      </c>
      <c r="B1" s="10" t="inlineStr">
        <is>
          <t>Category</t>
        </is>
      </c>
      <c r="C1" s="10" t="inlineStr">
        <is>
          <t>Related Requirement</t>
        </is>
      </c>
      <c r="D1" s="10" t="inlineStr">
        <is>
          <t>Role/Actor</t>
        </is>
      </c>
      <c r="E1" s="10" t="inlineStr">
        <is>
          <t>Test Scenario</t>
        </is>
      </c>
      <c r="F1" s="10" t="inlineStr">
        <is>
          <t>Preconditions</t>
        </is>
      </c>
      <c r="G1" s="10" t="inlineStr">
        <is>
          <t>Test Steps</t>
        </is>
      </c>
      <c r="H1" s="10" t="inlineStr">
        <is>
          <t>Expected Result</t>
        </is>
      </c>
      <c r="I1" s="10" t="inlineStr">
        <is>
          <t>Priority</t>
        </is>
      </c>
    </row>
    <row r="2" ht="69.75" customHeight="1" s="9">
      <c r="A2" s="11" t="inlineStr">
        <is>
          <t>SCH-TS-001</t>
        </is>
      </c>
      <c r="B2" s="12" t="inlineStr">
        <is>
          <t>Conflict Engine</t>
        </is>
      </c>
      <c r="C2" s="11" t="inlineStr">
        <is>
          <t>SCH-FR-05</t>
        </is>
      </c>
      <c r="D2" s="12" t="inlineStr">
        <is>
          <t>Scheduler</t>
        </is>
      </c>
      <c r="E2" s="12" t="inlineStr">
        <is>
          <t>Assign two sections to the same room, same day and time slot</t>
        </is>
      </c>
      <c r="F2" s="12" t="inlineStr">
        <is>
          <t>Two draft allocations exist for different sections; one room selected for both</t>
        </is>
      </c>
      <c r="G2" s="12" t="inlineStr">
        <is>
          <t>1. Open draft allocation
2. Assign Section A to Room X, Mon 10:00
3. Assign Section B to Room X, Mon 10:00
4. Attempt to save/validate</t>
        </is>
      </c>
      <c r="H2" s="12" t="inlineStr">
        <is>
          <t>Second allocation is rejected with a clear message: 'Room conflict - Room X already booked Mon 10:00'</t>
        </is>
      </c>
      <c r="I2" s="13" t="inlineStr">
        <is>
          <t>Must</t>
        </is>
      </c>
    </row>
    <row r="3" ht="69.75" customHeight="1" s="9">
      <c r="A3" s="11" t="inlineStr">
        <is>
          <t>SCH-TS-002</t>
        </is>
      </c>
      <c r="B3" s="12" t="inlineStr">
        <is>
          <t>Conflict Engine</t>
        </is>
      </c>
      <c r="C3" s="11" t="inlineStr">
        <is>
          <t>SCH-FR-05</t>
        </is>
      </c>
      <c r="D3" s="12" t="inlineStr">
        <is>
          <t>Scheduler</t>
        </is>
      </c>
      <c r="E3" s="12" t="inlineStr">
        <is>
          <t>Assign the same lecturer to two sections at the same time</t>
        </is>
      </c>
      <c r="F3" s="12" t="inlineStr">
        <is>
          <t>Lecturer has an existing allocation on Mon 10:00</t>
        </is>
      </c>
      <c r="G3" s="12" t="inlineStr">
        <is>
          <t>1. Open draft allocation
2. Assign the same lecturer to a second section at Mon 10:00
3. Attempt to save/validate</t>
        </is>
      </c>
      <c r="H3" s="12" t="inlineStr">
        <is>
          <t>Allocation is rejected with message: 'Lecturer conflict - already assigned Mon 10:00'</t>
        </is>
      </c>
      <c r="I3" s="13" t="inlineStr">
        <is>
          <t>Must</t>
        </is>
      </c>
    </row>
    <row r="4" ht="69.75" customHeight="1" s="9">
      <c r="A4" s="11" t="inlineStr">
        <is>
          <t>SCH-TS-003</t>
        </is>
      </c>
      <c r="B4" s="12" t="inlineStr">
        <is>
          <t>Conflict Engine</t>
        </is>
      </c>
      <c r="C4" s="11" t="inlineStr">
        <is>
          <t>SCH-FR-05</t>
        </is>
      </c>
      <c r="D4" s="12" t="inlineStr">
        <is>
          <t>Scheduler</t>
        </is>
      </c>
      <c r="E4" s="12" t="inlineStr">
        <is>
          <t>Assign the same student group to two sections at the same time</t>
        </is>
      </c>
      <c r="F4" s="12" t="inlineStr">
        <is>
          <t>Student group already allocated to a session on Mon 10:00</t>
        </is>
      </c>
      <c r="G4" s="12" t="inlineStr">
        <is>
          <t>1. Open draft allocation
2. Assign same student group to a second section, same day/slot
3. Attempt to save/validate</t>
        </is>
      </c>
      <c r="H4" s="12" t="inlineStr">
        <is>
          <t>Allocation is rejected with message: 'Student group conflict'</t>
        </is>
      </c>
      <c r="I4" s="13" t="inlineStr">
        <is>
          <t>Must</t>
        </is>
      </c>
    </row>
    <row r="5" ht="69.75" customHeight="1" s="9">
      <c r="A5" s="11" t="inlineStr">
        <is>
          <t>SCH-TS-004</t>
        </is>
      </c>
      <c r="B5" s="12" t="inlineStr">
        <is>
          <t>Conflict Engine</t>
        </is>
      </c>
      <c r="C5" s="11" t="inlineStr">
        <is>
          <t>SCH-FR-05</t>
        </is>
      </c>
      <c r="D5" s="12" t="inlineStr">
        <is>
          <t>Scheduler</t>
        </is>
      </c>
      <c r="E5" s="12" t="inlineStr">
        <is>
          <t>Assign a section to a room with capacity lower than group size</t>
        </is>
      </c>
      <c r="F5" s="12" t="inlineStr">
        <is>
          <t>Room capacity (e.g. 20) is less than the student group size (e.g. 35)</t>
        </is>
      </c>
      <c r="G5" s="12" t="inlineStr">
        <is>
          <t>1. Select a room with capacity &lt; group size
2. Assign section to that room
3. Attempt to save/validate</t>
        </is>
      </c>
      <c r="H5" s="12" t="inlineStr">
        <is>
          <t>Allocation is rejected with message: 'Capacity conflict - room capacity insufficient'</t>
        </is>
      </c>
      <c r="I5" s="13" t="inlineStr">
        <is>
          <t>Must</t>
        </is>
      </c>
    </row>
    <row r="6" ht="69.75" customHeight="1" s="9">
      <c r="A6" s="11" t="inlineStr">
        <is>
          <t>SCH-TS-005</t>
        </is>
      </c>
      <c r="B6" s="12" t="inlineStr">
        <is>
          <t>Conflict Engine</t>
        </is>
      </c>
      <c r="C6" s="11" t="inlineStr">
        <is>
          <t>SCH-FR-05</t>
        </is>
      </c>
      <c r="D6" s="12" t="inlineStr">
        <is>
          <t>Scheduler</t>
        </is>
      </c>
      <c r="E6" s="12" t="inlineStr">
        <is>
          <t>Assign a practical/lab section to a room missing required equipment</t>
        </is>
      </c>
      <c r="F6" s="12" t="inlineStr">
        <is>
          <t>Section requires specific lab equipment not available in the selected room</t>
        </is>
      </c>
      <c r="G6" s="12" t="inlineStr">
        <is>
          <t>1. Select a room without the required equipment
2. Assign the lab section to it
3. Attempt to save/validate</t>
        </is>
      </c>
      <c r="H6" s="12" t="inlineStr">
        <is>
          <t>Allocation is rejected with message: 'Equipment/Type conflict - required equipment missing'</t>
        </is>
      </c>
      <c r="I6" s="13" t="inlineStr">
        <is>
          <t>Must</t>
        </is>
      </c>
    </row>
    <row r="7" ht="69.75" customHeight="1" s="9">
      <c r="A7" s="11" t="inlineStr">
        <is>
          <t>SCH-TS-006</t>
        </is>
      </c>
      <c r="B7" s="12" t="inlineStr">
        <is>
          <t>Conflict Engine</t>
        </is>
      </c>
      <c r="C7" s="11" t="inlineStr">
        <is>
          <t>SCH-FR-05</t>
        </is>
      </c>
      <c r="D7" s="12" t="inlineStr">
        <is>
          <t>Scheduler</t>
        </is>
      </c>
      <c r="E7" s="12" t="inlineStr">
        <is>
          <t>Assign a section to a room during its closure/maintenance period</t>
        </is>
      </c>
      <c r="F7" s="12" t="inlineStr">
        <is>
          <t>Room has a closure window defined (e.g. Mon 09:00-12:00 maintenance)</t>
        </is>
      </c>
      <c r="G7" s="12" t="inlineStr">
        <is>
          <t>1. Select a room with an active closure window
2. Assign a section within that time window
3. Attempt to save/validate</t>
        </is>
      </c>
      <c r="H7" s="12" t="inlineStr">
        <is>
          <t>Allocation is rejected with message: 'Room closed - maintenance window'</t>
        </is>
      </c>
      <c r="I7" s="13" t="inlineStr">
        <is>
          <t>Must</t>
        </is>
      </c>
    </row>
    <row r="8" ht="69.75" customHeight="1" s="9">
      <c r="A8" s="11" t="inlineStr">
        <is>
          <t>SCH-TS-007</t>
        </is>
      </c>
      <c r="B8" s="12" t="inlineStr">
        <is>
          <t>Conflict Engine</t>
        </is>
      </c>
      <c r="C8" s="11" t="inlineStr">
        <is>
          <t>SCH-FR-05</t>
        </is>
      </c>
      <c r="D8" s="12" t="inlineStr">
        <is>
          <t>Scheduler</t>
        </is>
      </c>
      <c r="E8" s="12" t="inlineStr">
        <is>
          <t>Assign a session whose duration exceeds the allowed consecutive slot length</t>
        </is>
      </c>
      <c r="F8" s="12" t="inlineStr">
        <is>
          <t>Max consecutive duration rule is configured (e.g. 3 hours)</t>
        </is>
      </c>
      <c r="G8" s="12" t="inlineStr">
        <is>
          <t>1. Create a session spanning more than the max consecutive duration
2. Attempt to save/validate</t>
        </is>
      </c>
      <c r="H8" s="12" t="inlineStr">
        <is>
          <t>Allocation is rejected with message: 'Duration conflict - exceeds max consecutive hours'</t>
        </is>
      </c>
      <c r="I8" s="13" t="inlineStr">
        <is>
          <t>Must</t>
        </is>
      </c>
    </row>
    <row r="9" ht="69.75" customHeight="1" s="9">
      <c r="A9" s="11" t="inlineStr">
        <is>
          <t>SCH-TS-008</t>
        </is>
      </c>
      <c r="B9" s="12" t="inlineStr">
        <is>
          <t>Conflict Engine</t>
        </is>
      </c>
      <c r="C9" s="11" t="inlineStr">
        <is>
          <t>SCH-FR-05</t>
        </is>
      </c>
      <c r="D9" s="12" t="inlineStr">
        <is>
          <t>Scheduler</t>
        </is>
      </c>
      <c r="E9" s="12" t="inlineStr">
        <is>
          <t>Create a fully valid allocation with no conflicts</t>
        </is>
      </c>
      <c r="F9" s="12" t="inlineStr">
        <is>
          <t>Room, lecturer and student group are all free at the chosen slot; capacity and equipment match</t>
        </is>
      </c>
      <c r="G9" s="12" t="inlineStr">
        <is>
          <t>1. Fill in section, lecturer, room, day, slot correctly
2. Save/validate</t>
        </is>
      </c>
      <c r="H9" s="12" t="inlineStr">
        <is>
          <t>Allocation is accepted and saved as 'Draft - Valid' with zero conflicts</t>
        </is>
      </c>
      <c r="I9" s="13" t="inlineStr">
        <is>
          <t>Must</t>
        </is>
      </c>
    </row>
    <row r="10" ht="69.75" customHeight="1" s="9">
      <c r="A10" s="11" t="inlineStr">
        <is>
          <t>SCH-TS-009</t>
        </is>
      </c>
      <c r="B10" s="12" t="inlineStr">
        <is>
          <t>Publish &amp; Versioning</t>
        </is>
      </c>
      <c r="C10" s="11" t="inlineStr">
        <is>
          <t>SCH-FR-04 / FR-07</t>
        </is>
      </c>
      <c r="D10" s="12" t="inlineStr">
        <is>
          <t>Scheduler</t>
        </is>
      </c>
      <c r="E10" s="12" t="inlineStr">
        <is>
          <t>Attempt to publish a schedule that still has at least one unresolved conflict</t>
        </is>
      </c>
      <c r="F10" s="12" t="inlineStr">
        <is>
          <t>Draft contains one or more flagged conflicts</t>
        </is>
      </c>
      <c r="G10" s="12" t="inlineStr">
        <is>
          <t>1. Open draft with unresolved conflict
2. Click 'Publish'</t>
        </is>
      </c>
      <c r="H10" s="12" t="inlineStr">
        <is>
          <t>Publish action is blocked entirely; no new version is created; conflict list is shown</t>
        </is>
      </c>
      <c r="I10" s="13" t="inlineStr">
        <is>
          <t>Must</t>
        </is>
      </c>
    </row>
    <row r="11" ht="69.75" customHeight="1" s="9">
      <c r="A11" s="11" t="inlineStr">
        <is>
          <t>SCH-TS-010</t>
        </is>
      </c>
      <c r="B11" s="12" t="inlineStr">
        <is>
          <t>Publish &amp; Versioning</t>
        </is>
      </c>
      <c r="C11" s="11" t="inlineStr">
        <is>
          <t>SCH-FR-07</t>
        </is>
      </c>
      <c r="D11" s="12" t="inlineStr">
        <is>
          <t>Scheduler</t>
        </is>
      </c>
      <c r="E11" s="12" t="inlineStr">
        <is>
          <t>Publish a schedule that is fully free of conflicts</t>
        </is>
      </c>
      <c r="F11" s="12" t="inlineStr">
        <is>
          <t>Draft passed conflict validation with zero hard conflicts</t>
        </is>
      </c>
      <c r="G11" s="12" t="inlineStr">
        <is>
          <t>1. Open a conflict-free draft
2. Click 'Publish'
3. Confirm</t>
        </is>
      </c>
      <c r="H11" s="12" t="inlineStr">
        <is>
          <t>A new published version is created and becomes visible to students/staff</t>
        </is>
      </c>
      <c r="I11" s="13" t="inlineStr">
        <is>
          <t>Must</t>
        </is>
      </c>
    </row>
    <row r="12" ht="69.75" customHeight="1" s="9">
      <c r="A12" s="11" t="inlineStr">
        <is>
          <t>SCH-TS-011</t>
        </is>
      </c>
      <c r="B12" s="12" t="inlineStr">
        <is>
          <t>Publish &amp; Versioning</t>
        </is>
      </c>
      <c r="C12" s="11" t="inlineStr">
        <is>
          <t>SCH-FR-04</t>
        </is>
      </c>
      <c r="D12" s="12" t="inlineStr">
        <is>
          <t>Scheduler</t>
        </is>
      </c>
      <c r="E12" s="12" t="inlineStr">
        <is>
          <t>Edit a draft allocation before publishing</t>
        </is>
      </c>
      <c r="F12" s="12" t="inlineStr">
        <is>
          <t>A published version already exists; a draft is being edited in parallel</t>
        </is>
      </c>
      <c r="G12" s="12" t="inlineStr">
        <is>
          <t>1. Edit an allocation inside the draft
2. Save the draft (do not publish)
3. View the published timetable as a student</t>
        </is>
      </c>
      <c r="H12" s="12" t="inlineStr">
        <is>
          <t>The currently published version is unaffected; student still sees the old published data</t>
        </is>
      </c>
      <c r="I12" s="13" t="inlineStr">
        <is>
          <t>Must</t>
        </is>
      </c>
    </row>
    <row r="13" ht="69.75" customHeight="1" s="9">
      <c r="A13" s="11" t="inlineStr">
        <is>
          <t>SCH-TS-012</t>
        </is>
      </c>
      <c r="B13" s="12" t="inlineStr">
        <is>
          <t>Publish &amp; Versioning</t>
        </is>
      </c>
      <c r="C13" s="11" t="inlineStr">
        <is>
          <t>SCH-FR-07</t>
        </is>
      </c>
      <c r="D13" s="12" t="inlineStr">
        <is>
          <t>Scheduler</t>
        </is>
      </c>
      <c r="E13" s="12" t="inlineStr">
        <is>
          <t>Change a room in an already-published version</t>
        </is>
      </c>
      <c r="F13" s="12" t="inlineStr">
        <is>
          <t>A version is currently published and visible to users</t>
        </is>
      </c>
      <c r="G13" s="12" t="inlineStr">
        <is>
          <t>1. Change the room of a published allocation
2. Save the change</t>
        </is>
      </c>
      <c r="H13" s="12" t="inlineStr">
        <is>
          <t>A new schedule version is auto-created, an audit event is logged, and a complete affected-user notification list is generated</t>
        </is>
      </c>
      <c r="I13" s="13" t="inlineStr">
        <is>
          <t>Must</t>
        </is>
      </c>
    </row>
    <row r="14" ht="69.75" customHeight="1" s="9">
      <c r="A14" s="11" t="inlineStr">
        <is>
          <t>SCH-TS-013</t>
        </is>
      </c>
      <c r="B14" s="12" t="inlineStr">
        <is>
          <t>Publish &amp; Versioning</t>
        </is>
      </c>
      <c r="C14" s="11" t="inlineStr">
        <is>
          <t>SCH-FR-07</t>
        </is>
      </c>
      <c r="D14" s="12" t="inlineStr">
        <is>
          <t>Admin/Scheduler</t>
        </is>
      </c>
      <c r="E14" s="12" t="inlineStr">
        <is>
          <t>Compare two published versions</t>
        </is>
      </c>
      <c r="F14" s="12" t="inlineStr">
        <is>
          <t>At least two published versions exist in history</t>
        </is>
      </c>
      <c r="G14" s="12" t="inlineStr">
        <is>
          <t>1. Open version history
2. Select two versions
3. Click 'Compare'</t>
        </is>
      </c>
      <c r="H14" s="12" t="inlineStr">
        <is>
          <t>Differences between the two versions are displayed clearly (added/removed/changed allocations)</t>
        </is>
      </c>
      <c r="I14" s="14" t="inlineStr">
        <is>
          <t>Should</t>
        </is>
      </c>
    </row>
    <row r="15" ht="69.75" customHeight="1" s="9">
      <c r="A15" s="11" t="inlineStr">
        <is>
          <t>SCH-TS-014</t>
        </is>
      </c>
      <c r="B15" s="12" t="inlineStr">
        <is>
          <t>Publish &amp; Versioning</t>
        </is>
      </c>
      <c r="C15" s="11" t="inlineStr">
        <is>
          <t>SCH-FR-07 / FR-08</t>
        </is>
      </c>
      <c r="D15" s="12" t="inlineStr">
        <is>
          <t>Student</t>
        </is>
      </c>
      <c r="E15" s="12" t="inlineStr">
        <is>
          <t>Student opens their timetable after a new version is published</t>
        </is>
      </c>
      <c r="F15" s="12" t="inlineStr">
        <is>
          <t>A new version has just been published, replacing an older one</t>
        </is>
      </c>
      <c r="G15" s="12" t="inlineStr">
        <is>
          <t>1. Log in as student
2. Open 'My Timetable'</t>
        </is>
      </c>
      <c r="H15" s="12" t="inlineStr">
        <is>
          <t>Only the latest published version is shown; no draft or older-version data is visible</t>
        </is>
      </c>
      <c r="I15" s="13" t="inlineStr">
        <is>
          <t>Must</t>
        </is>
      </c>
    </row>
    <row r="16" ht="69.75" customHeight="1" s="9">
      <c r="A16" s="11" t="inlineStr">
        <is>
          <t>SCH-TS-015</t>
        </is>
      </c>
      <c r="B16" s="12" t="inlineStr">
        <is>
          <t>RBAC / Permissions</t>
        </is>
      </c>
      <c r="C16" s="11" t="inlineStr">
        <is>
          <t>SCH-NFR-01</t>
        </is>
      </c>
      <c r="D16" s="12" t="inlineStr">
        <is>
          <t>Student</t>
        </is>
      </c>
      <c r="E16" s="12" t="inlineStr">
        <is>
          <t>Student attempts to publish a timetable by directly calling the publish API</t>
        </is>
      </c>
      <c r="F16" s="12" t="inlineStr">
        <is>
          <t>Student is authenticated with a valid JWT with role=student</t>
        </is>
      </c>
      <c r="G16" s="12" t="inlineStr">
        <is>
          <t>1. Capture the publish endpoint request
2. Resend it with student's token instead of admin's
3. Send request</t>
        </is>
      </c>
      <c r="H16" s="12" t="inlineStr">
        <is>
          <t>Request is rejected with 403 Forbidden; no version is published</t>
        </is>
      </c>
      <c r="I16" s="13" t="inlineStr">
        <is>
          <t>Must</t>
        </is>
      </c>
    </row>
    <row r="17" ht="69.75" customHeight="1" s="9">
      <c r="A17" s="11" t="inlineStr">
        <is>
          <t>SCH-TS-016</t>
        </is>
      </c>
      <c r="B17" s="12" t="inlineStr">
        <is>
          <t>RBAC / Permissions</t>
        </is>
      </c>
      <c r="C17" s="11" t="inlineStr">
        <is>
          <t>SCH-NFR-01</t>
        </is>
      </c>
      <c r="D17" s="12" t="inlineStr">
        <is>
          <t>Department Coordinator</t>
        </is>
      </c>
      <c r="E17" s="12" t="inlineStr">
        <is>
          <t>Coordinator attempts to edit a course/section belonging to another department</t>
        </is>
      </c>
      <c r="F17" s="12" t="inlineStr">
        <is>
          <t>Coordinator A belongs to Dept X; target section belongs to Dept Y</t>
        </is>
      </c>
      <c r="G17" s="12" t="inlineStr">
        <is>
          <t>1. Log in as Coordinator A
2. Attempt to edit a section in Dept Y via API/UI</t>
        </is>
      </c>
      <c r="H17" s="12" t="inlineStr">
        <is>
          <t>Request is rejected with 403 Forbidden (department scoping enforced server-side)</t>
        </is>
      </c>
      <c r="I17" s="13" t="inlineStr">
        <is>
          <t>Must</t>
        </is>
      </c>
    </row>
    <row r="18" ht="69.75" customHeight="1" s="9">
      <c r="A18" s="11" t="inlineStr">
        <is>
          <t>SCH-TS-017</t>
        </is>
      </c>
      <c r="B18" s="12" t="inlineStr">
        <is>
          <t>RBAC / Permissions</t>
        </is>
      </c>
      <c r="C18" s="11" t="inlineStr">
        <is>
          <t>SCH-NFR-02</t>
        </is>
      </c>
      <c r="D18" s="12" t="inlineStr">
        <is>
          <t>Lecturer/TA</t>
        </is>
      </c>
      <c r="E18" s="12" t="inlineStr">
        <is>
          <t>Lecturer attempts to view another lecturer's availability data</t>
        </is>
      </c>
      <c r="F18" s="12" t="inlineStr">
        <is>
          <t>Two lecturer accounts exist, each with private availability records</t>
        </is>
      </c>
      <c r="G18" s="12" t="inlineStr">
        <is>
          <t>1. Log in as Lecturer A
2. Attempt to access Lecturer B's availability endpoint/page</t>
        </is>
      </c>
      <c r="H18" s="12" t="inlineStr">
        <is>
          <t>Request is rejected with 403 Forbidden; only owner and scheduler can view</t>
        </is>
      </c>
      <c r="I18" s="13" t="inlineStr">
        <is>
          <t>Must</t>
        </is>
      </c>
    </row>
    <row r="19" ht="69.75" customHeight="1" s="9">
      <c r="A19" s="11" t="inlineStr">
        <is>
          <t>SCH-TS-018</t>
        </is>
      </c>
      <c r="B19" s="12" t="inlineStr">
        <is>
          <t>RBAC / Permissions</t>
        </is>
      </c>
      <c r="C19" s="11" t="inlineStr">
        <is>
          <t>SCH-NFR-01</t>
        </is>
      </c>
      <c r="D19" s="12" t="inlineStr">
        <is>
          <t>Facilities Manager</t>
        </is>
      </c>
      <c r="E19" s="12" t="inlineStr">
        <is>
          <t>Facilities manager attempts to publish an official schedule version</t>
        </is>
      </c>
      <c r="F19" s="12" t="inlineStr">
        <is>
          <t>Facilities manager is authenticated with role=facilities</t>
        </is>
      </c>
      <c r="G19" s="12" t="inlineStr">
        <is>
          <t>1. Log in as Facilities Manager
2. Attempt to trigger the publish action</t>
        </is>
      </c>
      <c r="H19" s="12" t="inlineStr">
        <is>
          <t>Request is rejected with 403 Forbidden</t>
        </is>
      </c>
      <c r="I19" s="13" t="inlineStr">
        <is>
          <t>Must</t>
        </is>
      </c>
    </row>
    <row r="20" ht="69.75" customHeight="1" s="9">
      <c r="A20" s="11" t="inlineStr">
        <is>
          <t>SCH-TS-019</t>
        </is>
      </c>
      <c r="B20" s="12" t="inlineStr">
        <is>
          <t>RBAC / Permissions</t>
        </is>
      </c>
      <c r="C20" s="11" t="inlineStr">
        <is>
          <t>SCH-NFR-01</t>
        </is>
      </c>
      <c r="D20" s="12" t="inlineStr">
        <is>
          <t>Department Coordinator</t>
        </is>
      </c>
      <c r="E20" s="12" t="inlineStr">
        <is>
          <t>Coordinator attempts to publish a schedule version</t>
        </is>
      </c>
      <c r="F20" s="12" t="inlineStr">
        <is>
          <t>Coordinator is authenticated with role=coordinator</t>
        </is>
      </c>
      <c r="G20" s="12" t="inlineStr">
        <is>
          <t>1. Log in as Coordinator
2. Attempt to trigger the publish action</t>
        </is>
      </c>
      <c r="H20" s="12" t="inlineStr">
        <is>
          <t>Request is rejected with 403 Forbidden; publish remains Scheduler-only</t>
        </is>
      </c>
      <c r="I20" s="13" t="inlineStr">
        <is>
          <t>Must</t>
        </is>
      </c>
    </row>
    <row r="21" ht="69.75" customHeight="1" s="9">
      <c r="A21" s="11" t="inlineStr">
        <is>
          <t>SCH-TS-020</t>
        </is>
      </c>
      <c r="B21" s="12" t="inlineStr">
        <is>
          <t>RBAC / Permissions</t>
        </is>
      </c>
      <c r="C21" s="11" t="inlineStr">
        <is>
          <t>SCH-NFR-03</t>
        </is>
      </c>
      <c r="D21" s="12" t="inlineStr">
        <is>
          <t>Admin/Scheduler</t>
        </is>
      </c>
      <c r="E21" s="12" t="inlineStr">
        <is>
          <t>Scheduler overrides a detected conflict and provides a reason</t>
        </is>
      </c>
      <c r="F21" s="12" t="inlineStr">
        <is>
          <t>A conflict has been detected and flagged on an allocation</t>
        </is>
      </c>
      <c r="G21" s="12" t="inlineStr">
        <is>
          <t>1. Log in as Scheduler
2. Select 'Override conflict'
3. Enter mandatory reason
4. Confirm</t>
        </is>
      </c>
      <c r="H21" s="12" t="inlineStr">
        <is>
          <t>Override is applied; an immutable audit log entry is created with actor ID, UTC timestamp, action and reason</t>
        </is>
      </c>
      <c r="I21" s="13" t="inlineStr">
        <is>
          <t>Must</t>
        </is>
      </c>
    </row>
    <row r="22" ht="69.75" customHeight="1" s="9">
      <c r="A22" s="11" t="inlineStr">
        <is>
          <t>SCH-TS-021</t>
        </is>
      </c>
      <c r="B22" s="12" t="inlineStr">
        <is>
          <t>RBAC / Permissions</t>
        </is>
      </c>
      <c r="C22" s="11" t="inlineStr">
        <is>
          <t>SCH-NFR-01</t>
        </is>
      </c>
      <c r="D22" s="12" t="inlineStr">
        <is>
          <t>Lecturer / Student / Coordinator / Facilities</t>
        </is>
      </c>
      <c r="E22" s="12" t="inlineStr">
        <is>
          <t>Non-admin role attempts to access the Audit Logs screen or endpoint</t>
        </is>
      </c>
      <c r="F22" s="12" t="inlineStr">
        <is>
          <t>User is authenticated with a non-admin role</t>
        </is>
      </c>
      <c r="G22" s="12" t="inlineStr">
        <is>
          <t>1. Log in with a non-admin role
2. Attempt to open /audit-logs</t>
        </is>
      </c>
      <c r="H22" s="12" t="inlineStr">
        <is>
          <t>Request is rejected with 403 Forbidden</t>
        </is>
      </c>
      <c r="I22" s="13" t="inlineStr">
        <is>
          <t>Must</t>
        </is>
      </c>
    </row>
    <row r="23" ht="69.75" customHeight="1" s="9">
      <c r="A23" s="11" t="inlineStr">
        <is>
          <t>SCH-TS-022</t>
        </is>
      </c>
      <c r="B23" s="12" t="inlineStr">
        <is>
          <t>Master Data</t>
        </is>
      </c>
      <c r="C23" s="11" t="inlineStr">
        <is>
          <t>SCH-FR-01</t>
        </is>
      </c>
      <c r="D23" s="12" t="inlineStr">
        <is>
          <t>Scheduler</t>
        </is>
      </c>
      <c r="E23" s="12" t="inlineStr">
        <is>
          <t>Add a new time slot that overlaps an existing one</t>
        </is>
      </c>
      <c r="F23" s="12" t="inlineStr">
        <is>
          <t>A time slot already exists (e.g. Mon 10:00-11:00)</t>
        </is>
      </c>
      <c r="G23" s="12" t="inlineStr">
        <is>
          <t>1. Open term calendar setup
2. Add a new slot Mon 10:30-11:30
3. Save</t>
        </is>
      </c>
      <c r="H23" s="12" t="inlineStr">
        <is>
          <t>System rejects the overlapping slot with a validation message</t>
        </is>
      </c>
      <c r="I23" s="13" t="inlineStr">
        <is>
          <t>Must</t>
        </is>
      </c>
    </row>
    <row r="24" ht="69.75" customHeight="1" s="9">
      <c r="A24" s="11" t="inlineStr">
        <is>
          <t>SCH-TS-023</t>
        </is>
      </c>
      <c r="B24" s="12" t="inlineStr">
        <is>
          <t>Master Data</t>
        </is>
      </c>
      <c r="C24" s="11" t="inlineStr">
        <is>
          <t>SCH-FR-02</t>
        </is>
      </c>
      <c r="D24" s="12" t="inlineStr">
        <is>
          <t>Scheduler / Coordinator</t>
        </is>
      </c>
      <c r="E24" s="12" t="inlineStr">
        <is>
          <t>Search for rooms filtering by capacity, type and required equipment</t>
        </is>
      </c>
      <c r="F24" s="12" t="inlineStr">
        <is>
          <t>Multiple rooms exist with varying capacity, type and equipment</t>
        </is>
      </c>
      <c r="G24" s="12" t="inlineStr">
        <is>
          <t>1. Open room search
2. Set filters: capacity &gt;= 40, type = Lab, equipment = Projector
3. Run search</t>
        </is>
      </c>
      <c r="H24" s="12" t="inlineStr">
        <is>
          <t>Only rooms matching all three filters are returned</t>
        </is>
      </c>
      <c r="I24" s="13" t="inlineStr">
        <is>
          <t>Must</t>
        </is>
      </c>
    </row>
    <row r="25" ht="69.75" customHeight="1" s="9">
      <c r="A25" s="11" t="inlineStr">
        <is>
          <t>SCH-TS-024</t>
        </is>
      </c>
      <c r="B25" s="12" t="inlineStr">
        <is>
          <t>Master Data</t>
        </is>
      </c>
      <c r="C25" s="11" t="inlineStr">
        <is>
          <t>SCH-FR-03</t>
        </is>
      </c>
      <c r="D25" s="12" t="inlineStr">
        <is>
          <t>Scheduler</t>
        </is>
      </c>
      <c r="E25" s="12" t="inlineStr">
        <is>
          <t>Attempt to schedule a section whose staffing/availability data is incomplete</t>
        </is>
      </c>
      <c r="F25" s="12" t="inlineStr">
        <is>
          <t>A section exists with missing lecturer availability or contact hours</t>
        </is>
      </c>
      <c r="G25" s="12" t="inlineStr">
        <is>
          <t>1. Open the section in the scheduling screen
2. Attempt to allocate it</t>
        </is>
      </c>
      <c r="H25" s="12" t="inlineStr">
        <is>
          <t>System flags the requirement as 'Incomplete' and blocks scheduling until data is completed</t>
        </is>
      </c>
      <c r="I25" s="14" t="inlineStr">
        <is>
          <t>Should</t>
        </is>
      </c>
    </row>
    <row r="26" ht="69.75" customHeight="1" s="9">
      <c r="A26" s="11" t="inlineStr">
        <is>
          <t>SCH-TS-025</t>
        </is>
      </c>
      <c r="B26" s="12" t="inlineStr">
        <is>
          <t>Export &amp; Security</t>
        </is>
      </c>
      <c r="C26" s="11" t="inlineStr">
        <is>
          <t>SCH-FR-08</t>
        </is>
      </c>
      <c r="D26" s="12" t="inlineStr">
        <is>
          <t>All roles</t>
        </is>
      </c>
      <c r="E26" s="12" t="inlineStr">
        <is>
          <t>Export the published timetable as ICS and compare it to the on-screen view</t>
        </is>
      </c>
      <c r="F26" s="12" t="inlineStr">
        <is>
          <t>A version is published and visible in the UI</t>
        </is>
      </c>
      <c r="G26" s="12" t="inlineStr">
        <is>
          <t>1. Open published timetable
2. Export as ICS
3. Open the ICS file and compare entries to the UI</t>
        </is>
      </c>
      <c r="H26" s="12" t="inlineStr">
        <is>
          <t>All sessions, times, rooms and lecturers match exactly between export and UI</t>
        </is>
      </c>
      <c r="I26" s="13" t="inlineStr">
        <is>
          <t>Must</t>
        </is>
      </c>
    </row>
    <row r="27" ht="69.75" customHeight="1" s="9">
      <c r="A27" s="11" t="inlineStr">
        <is>
          <t>SCH-TS-026</t>
        </is>
      </c>
      <c r="B27" s="12" t="inlineStr">
        <is>
          <t>Export &amp; Security</t>
        </is>
      </c>
      <c r="C27" s="11" t="inlineStr">
        <is>
          <t>SCH-NFR-04</t>
        </is>
      </c>
      <c r="D27" s="12" t="inlineStr">
        <is>
          <t>Scheduler / Coordinator</t>
        </is>
      </c>
      <c r="E27" s="12" t="inlineStr">
        <is>
          <t>Import a CSV containing a formula-like payload in a room/course name field</t>
        </is>
      </c>
      <c r="F27" s="12" t="inlineStr">
        <is>
          <t>A CSV import template is available for rooms or courses</t>
        </is>
      </c>
      <c r="G27" s="12" t="inlineStr">
        <is>
          <t>1. Prepare a CSV with a cell value like =CMD('calc') in the 'Room Name' column
2. Import the file
3. Export the same data back to CSV and open it</t>
        </is>
      </c>
      <c r="H27" s="12" t="inlineStr">
        <is>
          <t>The formula payload is stripped/sanitized on import and export; no executable formula reaches the stored data or the exported file</t>
        </is>
      </c>
      <c r="I27" s="13" t="inlineStr">
        <is>
          <t>Must</t>
        </is>
      </c>
    </row>
    <row r="28" ht="69.75" customHeight="1" s="9">
      <c r="A28" s="11" t="inlineStr">
        <is>
          <t>SCH-TS-027</t>
        </is>
      </c>
      <c r="B28" s="12" t="inlineStr">
        <is>
          <t>Export &amp; Security</t>
        </is>
      </c>
      <c r="C28" s="11" t="inlineStr">
        <is>
          <t>SCH-FR-08</t>
        </is>
      </c>
      <c r="D28" s="12" t="inlineStr">
        <is>
          <t>All roles</t>
        </is>
      </c>
      <c r="E28" s="12" t="inlineStr">
        <is>
          <t>Print the published timetable</t>
        </is>
      </c>
      <c r="F28" s="12" t="inlineStr">
        <is>
          <t>A version is published</t>
        </is>
      </c>
      <c r="G28" s="12" t="inlineStr">
        <is>
          <t>1. Open published timetable
2. Select 'Print'</t>
        </is>
      </c>
      <c r="H28" s="12" t="inlineStr">
        <is>
          <t>Printed layout matches the published timetable exactly (no missing/extra sessions)</t>
        </is>
      </c>
      <c r="I28" s="14" t="inlineStr">
        <is>
          <t>Should</t>
        </is>
      </c>
    </row>
    <row r="29" ht="69.75" customHeight="1" s="9">
      <c r="A29" s="11" t="inlineStr">
        <is>
          <t>SCH-TS-028</t>
        </is>
      </c>
      <c r="B29" s="12" t="inlineStr">
        <is>
          <t>Reporting</t>
        </is>
      </c>
      <c r="C29" s="11" t="inlineStr">
        <is>
          <t>SCH-FR-10</t>
        </is>
      </c>
      <c r="D29" s="12" t="inlineStr">
        <is>
          <t>Scheduler / Facilities</t>
        </is>
      </c>
      <c r="E29" s="12" t="inlineStr">
        <is>
          <t>Verify room/lab utilization percentage against actual published allocations</t>
        </is>
      </c>
      <c r="F29" s="12" t="inlineStr">
        <is>
          <t>A published version exists with a known set of allocations and room inventory</t>
        </is>
      </c>
      <c r="G29" s="12" t="inlineStr">
        <is>
          <t>1. Open Utilization Dashboard
2. Note utilization % for a specific room
3. Manually count that room's occupied slots vs total available slots from published data</t>
        </is>
      </c>
      <c r="H29" s="12" t="inlineStr">
        <is>
          <t>Dashboard figure matches the manually calculated utilization percentage</t>
        </is>
      </c>
      <c r="I29" s="13" t="inlineStr">
        <is>
          <t>Must</t>
        </is>
      </c>
    </row>
    <row r="30" ht="69.75" customHeight="1" s="9">
      <c r="A30" s="11" t="inlineStr">
        <is>
          <t>SCH-TS-029</t>
        </is>
      </c>
      <c r="B30" s="12" t="inlineStr">
        <is>
          <t>Reporting</t>
        </is>
      </c>
      <c r="C30" s="11" t="inlineStr">
        <is>
          <t>SCH-FR-10</t>
        </is>
      </c>
      <c r="D30" s="12" t="inlineStr">
        <is>
          <t>Scheduler</t>
        </is>
      </c>
      <c r="E30" s="12" t="inlineStr">
        <is>
          <t>View unallocated sections report</t>
        </is>
      </c>
      <c r="F30" s="12" t="inlineStr">
        <is>
          <t>At least one section has no allocation in the published version</t>
        </is>
      </c>
      <c r="G30" s="12" t="inlineStr">
        <is>
          <t>1. Open 'Unallocated Sessions' report</t>
        </is>
      </c>
      <c r="H30" s="12" t="inlineStr">
        <is>
          <t>Report lists exactly the sections with no allocation, matching the actual data</t>
        </is>
      </c>
      <c r="I30" s="14" t="inlineStr">
        <is>
          <t>Should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8" min="1" max="1"/>
    <col width="20" customWidth="1" style="8" min="2" max="2"/>
    <col width="10" customWidth="1" style="8" min="3" max="4"/>
  </cols>
  <sheetData>
    <row r="1" ht="26.85" customHeight="1" s="9">
      <c r="A1" s="10" t="inlineStr">
        <is>
          <t>Category</t>
        </is>
      </c>
      <c r="B1" s="10" t="inlineStr">
        <is>
          <t>Number of Scenarios</t>
        </is>
      </c>
      <c r="C1" s="10" t="inlineStr">
        <is>
          <t>Must</t>
        </is>
      </c>
      <c r="D1" s="10" t="inlineStr">
        <is>
          <t>Should</t>
        </is>
      </c>
    </row>
    <row r="2" ht="15" customHeight="1" s="9">
      <c r="A2" s="12" t="inlineStr">
        <is>
          <t>Conflict Engine</t>
        </is>
      </c>
      <c r="B2" s="11">
        <f>COUNTIF('Main Test Scenarios'!B:B,A2)</f>
        <v/>
      </c>
      <c r="C2" s="11">
        <f>COUNTIFS('Main Test Scenarios'!B:B,A2,'Main Test Scenarios'!I:I,"Must")</f>
        <v/>
      </c>
      <c r="D2" s="11">
        <f>COUNTIFS('Main Test Scenarios'!B:B,A2,'Main Test Scenarios'!I:I,"Should")</f>
        <v/>
      </c>
    </row>
    <row r="3" ht="15" customHeight="1" s="9">
      <c r="A3" s="12" t="inlineStr">
        <is>
          <t>Publish &amp; Versioning</t>
        </is>
      </c>
      <c r="B3" s="11">
        <f>COUNTIF('Main Test Scenarios'!B:B,A3)</f>
        <v/>
      </c>
      <c r="C3" s="11">
        <f>COUNTIFS('Main Test Scenarios'!B:B,A3,'Main Test Scenarios'!I:I,"Must")</f>
        <v/>
      </c>
      <c r="D3" s="11">
        <f>COUNTIFS('Main Test Scenarios'!B:B,A3,'Main Test Scenarios'!I:I,"Should")</f>
        <v/>
      </c>
    </row>
    <row r="4" ht="15" customHeight="1" s="9">
      <c r="A4" s="12" t="inlineStr">
        <is>
          <t>RBAC / Permissions</t>
        </is>
      </c>
      <c r="B4" s="11">
        <f>COUNTIF('Main Test Scenarios'!B:B,A4)</f>
        <v/>
      </c>
      <c r="C4" s="11">
        <f>COUNTIFS('Main Test Scenarios'!B:B,A4,'Main Test Scenarios'!I:I,"Must")</f>
        <v/>
      </c>
      <c r="D4" s="11">
        <f>COUNTIFS('Main Test Scenarios'!B:B,A4,'Main Test Scenarios'!I:I,"Should")</f>
        <v/>
      </c>
    </row>
    <row r="5" ht="15" customHeight="1" s="9">
      <c r="A5" s="12" t="inlineStr">
        <is>
          <t>Master Data</t>
        </is>
      </c>
      <c r="B5" s="11">
        <f>COUNTIF('Main Test Scenarios'!B:B,A5)</f>
        <v/>
      </c>
      <c r="C5" s="11">
        <f>COUNTIFS('Main Test Scenarios'!B:B,A5,'Main Test Scenarios'!I:I,"Must")</f>
        <v/>
      </c>
      <c r="D5" s="11">
        <f>COUNTIFS('Main Test Scenarios'!B:B,A5,'Main Test Scenarios'!I:I,"Should")</f>
        <v/>
      </c>
    </row>
    <row r="6" ht="15" customHeight="1" s="9">
      <c r="A6" s="12" t="inlineStr">
        <is>
          <t>Export &amp; Security</t>
        </is>
      </c>
      <c r="B6" s="11">
        <f>COUNTIF('Main Test Scenarios'!B:B,A6)</f>
        <v/>
      </c>
      <c r="C6" s="11">
        <f>COUNTIFS('Main Test Scenarios'!B:B,A6,'Main Test Scenarios'!I:I,"Must")</f>
        <v/>
      </c>
      <c r="D6" s="11">
        <f>COUNTIFS('Main Test Scenarios'!B:B,A6,'Main Test Scenarios'!I:I,"Should")</f>
        <v/>
      </c>
    </row>
    <row r="7" ht="15" customHeight="1" s="9">
      <c r="A7" s="12" t="inlineStr">
        <is>
          <t>Reporting</t>
        </is>
      </c>
      <c r="B7" s="11">
        <f>COUNTIF('Main Test Scenarios'!B:B,A7)</f>
        <v/>
      </c>
      <c r="C7" s="11">
        <f>COUNTIFS('Main Test Scenarios'!B:B,A7,'Main Test Scenarios'!I:I,"Must")</f>
        <v/>
      </c>
      <c r="D7" s="11">
        <f>COUNTIFS('Main Test Scenarios'!B:B,A7,'Main Test Scenarios'!I:I,"Should")</f>
        <v/>
      </c>
    </row>
    <row r="8" ht="15" customHeight="1" s="9">
      <c r="A8" s="15" t="inlineStr">
        <is>
          <t>Total</t>
        </is>
      </c>
      <c r="B8" s="16">
        <f>SUM(B2:B7)</f>
        <v/>
      </c>
      <c r="C8" s="16">
        <f>SUM(C2:C7)</f>
        <v/>
      </c>
      <c r="D8" s="16">
        <f>SUM(D2:D7)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2026-09-22T10:38:28Z</dcterms:created>
  <dcterms:modified xmlns:dcterms="http://purl.org/dc/terms/" xmlns:xsi="http://www.w3.org/2001/XMLSchema-instance" xsi:type="dcterms:W3CDTF">2026-09-22T11:07:32Z</dcterms:modified>
  <cp:revision>0</cp:revision>
</cp:coreProperties>
</file>