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Summary &amp; Out of Scope" sheetId="2" state="visible" r:id="rId4"/>
  </sheets>
  <definedNames>
    <definedName function="false" hidden="true" localSheetId="0" name="_xlnm._FilterDatabase" vbProcedure="false">Requirements!$A$1:$H$25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<sst xmlns="http://schemas.openxmlformats.org/spreadsheetml/2006/main" count="224" uniqueCount="150">
  <si>
    <t xml:space="preserve">ID</t>
  </si>
  <si>
    <t xml:space="preserve">Requirement</t>
  </si>
  <si>
    <t xml:space="preserve">Type</t>
  </si>
  <si>
    <t xml:space="preserve">Module</t>
  </si>
  <si>
    <t xml:space="preserve">Primary Team</t>
  </si>
  <si>
    <t xml:space="preserve">Supporting</t>
  </si>
  <si>
    <t xml:space="preserve">Priority</t>
  </si>
  <si>
    <t xml:space="preserve">Acceptance Criteria</t>
  </si>
  <si>
    <t xml:space="preserve">SCH-FR-01</t>
  </si>
  <si>
    <t xml:space="preserve">The system shall manage academic terms, working days, time slots, holidays, departments, courses, sections, and student-group size.</t>
  </si>
  <si>
    <t xml:space="preserve">Functional</t>
  </si>
  <si>
    <t xml:space="preserve">Academic Planning (Master Data)</t>
  </si>
  <si>
    <t xml:space="preserve">Backend</t>
  </si>
  <si>
    <t xml:space="preserve">Frontend, UI/UX</t>
  </si>
  <si>
    <t xml:space="preserve">Must</t>
  </si>
  <si>
    <t xml:space="preserve">The term calendar rejects invalid or overlapping slot definitions.</t>
  </si>
  <si>
    <t xml:space="preserve">SCH-FR-02</t>
  </si>
  <si>
    <t xml:space="preserve">The system shall manage classrooms and labs with building, capacity, type, accessibility, equipment, and availability/closure windows.</t>
  </si>
  <si>
    <t xml:space="preserve">Facilities Management</t>
  </si>
  <si>
    <t xml:space="preserve">Search filters return correct results by capacity, type, equipment, and availability.</t>
  </si>
  <si>
    <t xml:space="preserve">SCH-FR-03</t>
  </si>
  <si>
    <t xml:space="preserve">The system shall capture lecturer/TA availability, section contact hours, session type, duration, room needs, and preferred windows. Lecturers/TAs shall be able to submit availability and exception requests.</t>
  </si>
  <si>
    <t xml:space="preserve">Staff &amp; Constraints Management</t>
  </si>
  <si>
    <t xml:space="preserve">Frontend, UI/UX, Security</t>
  </si>
  <si>
    <t xml:space="preserve">Incomplete requirements are flagged before scheduling, and submitted exception requests are recorded.</t>
  </si>
  <si>
    <t xml:space="preserve">SCH-FR-04</t>
  </si>
  <si>
    <t xml:space="preserve">The system shall allow creating and editing draft allocations (section, lecturer/TA, room/lab, day, slot).</t>
  </si>
  <si>
    <t xml:space="preserve">Draft Allocation</t>
  </si>
  <si>
    <t xml:space="preserve">Draft changes are versioned and do not affect the published view.</t>
  </si>
  <si>
    <t xml:space="preserve">SCH-FR-05</t>
  </si>
  <si>
    <t xml:space="preserve">The system shall detect hard conflicts: room, lecturer, student group, capacity, room type, equipment, closure, and consecutive duration.</t>
  </si>
  <si>
    <t xml:space="preserve">Conflict Engine</t>
  </si>
  <si>
    <t xml:space="preserve">AI</t>
  </si>
  <si>
    <t xml:space="preserve">Backend, Frontend, UI/UX</t>
  </si>
  <si>
    <t xml:space="preserve">A conflicting allocation cannot be published and the system shows the reason.</t>
  </si>
  <si>
    <t xml:space="preserve">SCH-FR-06</t>
  </si>
  <si>
    <t xml:space="preserve">The system shall recommend ranked feasible rooms/slots, scored by capacity fit, equipment match, staff preference, compactness, and room utilization, with an explanation of satisfied preferences and trade-offs.</t>
  </si>
  <si>
    <t xml:space="preserve">Recommendation Engine</t>
  </si>
  <si>
    <t xml:space="preserve">Should</t>
  </si>
  <si>
    <t xml:space="preserve">At least 3 alternatives appear when available, and the admin confirms one.</t>
  </si>
  <si>
    <t xml:space="preserve">SCH-FR-07</t>
  </si>
  <si>
    <t xml:space="preserve">The system shall publish a timetable version and retain previous versions and change history.</t>
  </si>
  <si>
    <t xml:space="preserve">Publishing &amp; Version Control</t>
  </si>
  <si>
    <t xml:space="preserve">Students/staff see only the latest published version, and the admin can compare versions.</t>
  </si>
  <si>
    <t xml:space="preserve">SCH-FR-08</t>
  </si>
  <si>
    <t xml:space="preserve">The system shall provide personal, section, lecturer, and room/lab calendar views, plus printable and ICS export.</t>
  </si>
  <si>
    <t xml:space="preserve">Timetable Views &amp; Export</t>
  </si>
  <si>
    <t xml:space="preserve">Frontend</t>
  </si>
  <si>
    <t xml:space="preserve">Backend, UI/UX, Security</t>
  </si>
  <si>
    <t xml:space="preserve">Exports match the visible published timetable.</t>
  </si>
  <si>
    <t xml:space="preserve">SCH-FR-09</t>
  </si>
  <si>
    <t xml:space="preserve">The system shall send or record change notifications to affected users when a published allocation changes.</t>
  </si>
  <si>
    <t xml:space="preserve">Notifications</t>
  </si>
  <si>
    <t xml:space="preserve">The notification list contains all affected groups and staff.</t>
  </si>
  <si>
    <t xml:space="preserve">SCH-FR-10</t>
  </si>
  <si>
    <t xml:space="preserve">The system shall report room/lab utilization, capacity waste, peak times, unallocated requirements, and conflict categories, plus soft preferences met, average admin edits, and notification coverage, with filters and export.</t>
  </si>
  <si>
    <t xml:space="preserve">Reports &amp; Dashboard</t>
  </si>
  <si>
    <t xml:space="preserve">Metrics reconcile with published slots and room inventory.</t>
  </si>
  <si>
    <t xml:space="preserve">SCH-NFR-01</t>
  </si>
  <si>
    <t xml:space="preserve">Access control shall be role-based and enforced in the backend on every protected endpoint: only Schedulers can publish, Coordinators can edit only their own department's requirements, and Students have read-only access to published data. Hiding buttons in React is not access control.</t>
  </si>
  <si>
    <t xml:space="preserve">Non-Functional (Security)</t>
  </si>
  <si>
    <t xml:space="preserve">Auth &amp; RBAC</t>
  </si>
  <si>
    <t xml:space="preserve">Security, Frontend</t>
  </si>
  <si>
    <t xml:space="preserve">Each role is tested, and calling the API directly with a wrong role returns 403.</t>
  </si>
  <si>
    <t xml:space="preserve">SCH-NFR-02</t>
  </si>
  <si>
    <t xml:space="preserve">Lecturer/TA availability is operational staff data, so its exports shall be restricted to authorized roles.</t>
  </si>
  <si>
    <t xml:space="preserve">Non-Functional (Security / Privacy)</t>
  </si>
  <si>
    <t xml:space="preserve">Staff Management &amp; Export</t>
  </si>
  <si>
    <t xml:space="preserve">Security</t>
  </si>
  <si>
    <t xml:space="preserve">Backend, Frontend</t>
  </si>
  <si>
    <t xml:space="preserve">Only authorized roles can export availability data.</t>
  </si>
  <si>
    <t xml:space="preserve">SCH-NFR-03</t>
  </si>
  <si>
    <t xml:space="preserve">Publication, override, room closure, post-publication changes, create/update/delete actions, role changes, model predictions, and sensitive exports shall be audited with actor, timestamp, action, entity ID, and reason where applicable.</t>
  </si>
  <si>
    <t xml:space="preserve">Non-Functional (Auditability)</t>
  </si>
  <si>
    <t xml:space="preserve">Audit Log</t>
  </si>
  <si>
    <t xml:space="preserve">Security, Frontend, UI/UX</t>
  </si>
  <si>
    <t xml:space="preserve">Each event is recorded with actor, time, action, entity ID, and reason.</t>
  </si>
  <si>
    <t xml:space="preserve">SCH-NFR-04</t>
  </si>
  <si>
    <t xml:space="preserve">Imports shall be validated, and formula-like values (cells starting with =, +, -, @) shall be protected during CSV import/export.</t>
  </si>
  <si>
    <t xml:space="preserve">Import / Export</t>
  </si>
  <si>
    <t xml:space="preserve">Malicious or invalid rows are rejected or neutralized.</t>
  </si>
  <si>
    <t xml:space="preserve">SCH-NFR-05</t>
  </si>
  <si>
    <t xml:space="preserve">Passwords shall be hashed, HTTPS used in deployed environments, inputs validated, rate limiting applied, and dependencies scanned (OWASP). Secrets shall be loaded from environment/secret storage and never committed to the repository.</t>
  </si>
  <si>
    <t xml:space="preserve">Platform Security / Secrets</t>
  </si>
  <si>
    <t xml:space="preserve">A repo scan finds no secrets, and the dependency scan shows no open critical/high issues.</t>
  </si>
  <si>
    <t xml:space="preserve">SCH-NFR-06</t>
  </si>
  <si>
    <t xml:space="preserve">Critical workflow, export, permission, and prediction events shall be logged (structured logs with request IDs) without storing passwords, tokens, or unnecessary sensitive payloads.</t>
  </si>
  <si>
    <t xml:space="preserve">Non-Functional (Logging &amp; Monitoring)</t>
  </si>
  <si>
    <t xml:space="preserve">Logging</t>
  </si>
  <si>
    <t xml:space="preserve">Security, AI</t>
  </si>
  <si>
    <t xml:space="preserve">Logs contain the events but no sensitive data.</t>
  </si>
  <si>
    <t xml:space="preserve">SCH-NFR-07</t>
  </si>
  <si>
    <t xml:space="preserve">The conflict engine shall be deterministic (same input gives the same output), shall explain every rejection in words a scheduler understands, and shall be covered by property tests before the UI is built.</t>
  </si>
  <si>
    <t xml:space="preserve">Non-Functional (Reliability / Testability)</t>
  </si>
  <si>
    <t xml:space="preserve">Backend, UI/UX, Tester</t>
  </si>
  <si>
    <t xml:space="preserve">Repeated runs give identical results, every rejection has a clear message, and the property tests pass in CI.</t>
  </si>
  <si>
    <t xml:space="preserve">SCH-NFR-08</t>
  </si>
  <si>
    <t xml:space="preserve">All mutable records shall have created_at, updated_at, created_by/updated_by, status history, and a stable internal ID. Timestamps shall be stored in UTC.</t>
  </si>
  <si>
    <t xml:space="preserve">Non-Functional (Data Integrity)</t>
  </si>
  <si>
    <t xml:space="preserve">Database / Data Model</t>
  </si>
  <si>
    <t xml:space="preserve">—</t>
  </si>
  <si>
    <t xml:space="preserve">Schema review confirms these fields exist on all mutable entities.</t>
  </si>
  <si>
    <t xml:space="preserve">SCH-NFR-09</t>
  </si>
  <si>
    <t xml:space="preserve">PII shall be minimized, validated, and retained only under an approved policy, with authorized correction/deletion. Only synthetic data shall be used, and a seed generator shall load demo data with one command (min. 20 rooms/labs, 15 staff, 25 sections).</t>
  </si>
  <si>
    <t xml:space="preserve">Non-Functional (Privacy / Data Compliance)</t>
  </si>
  <si>
    <t xml:space="preserve">Data Model / Seed Data</t>
  </si>
  <si>
    <t xml:space="preserve">Backend, AI</t>
  </si>
  <si>
    <t xml:space="preserve">No real or unnecessary PII is stored, and one command loads the full dataset.</t>
  </si>
  <si>
    <t xml:space="preserve">SCH-NFR-10</t>
  </si>
  <si>
    <t xml:space="preserve">Any AI feature shall have a deterministic baseline, a documented dataset split, metrics, known limitations, a model/version log, and a working non-AI fallback. No protected personal attribute shall be used for prediction, ranking, or access.</t>
  </si>
  <si>
    <t xml:space="preserve">Non-Functional (AI Governance)</t>
  </si>
  <si>
    <t xml:space="preserve">The AI feature works with the fallback when the model is disabled.</t>
  </si>
  <si>
    <t xml:space="preserve">SCH-NFR-11</t>
  </si>
  <si>
    <t xml:space="preserve">95% of ordinary API requests shall complete within 2 seconds under 200 concurrent demo users, and analytics pages within 5 seconds.</t>
  </si>
  <si>
    <t xml:space="preserve">Non-Functional (Performance)</t>
  </si>
  <si>
    <t xml:space="preserve">API / Dashboard</t>
  </si>
  <si>
    <t xml:space="preserve">Frontend, AI</t>
  </si>
  <si>
    <t xml:space="preserve">A load test shows the 2-second and 5-second targets are met.</t>
  </si>
  <si>
    <t xml:space="preserve">SCH-NFR-12</t>
  </si>
  <si>
    <t xml:space="preserve">The system shall run in Docker with CI, recover after a container restart, expose a health check, and have a documented restore procedure.</t>
  </si>
  <si>
    <t xml:space="preserve">Non-Functional (Availability / Deployability)</t>
  </si>
  <si>
    <t xml:space="preserve">DevOps / Deployment</t>
  </si>
  <si>
    <t xml:space="preserve">Staging is reachable, recovers after restart, and the restore procedure works.</t>
  </si>
  <si>
    <t xml:space="preserve">SCH-NFR-13</t>
  </si>
  <si>
    <t xml:space="preserve">The UI shall be keyboard-operable, with labeled controls, sufficient contrast, usable validation messages, and responsive layouts.</t>
  </si>
  <si>
    <t xml:space="preserve">Non-Functional (Accessibility)</t>
  </si>
  <si>
    <t xml:space="preserve">UI / Accessibility</t>
  </si>
  <si>
    <t xml:space="preserve">UI/UX</t>
  </si>
  <si>
    <t xml:space="preserve">Main flows work by keyboard only, and validation messages are clear on desktop and mobile.</t>
  </si>
  <si>
    <t xml:space="preserve">SCH-NFR-14</t>
  </si>
  <si>
    <t xml:space="preserve">Unit, API integration, UI smoke, authorization, and end-to-end acceptance tests shall run in CI. An API specification (OpenAPI), ERD, README, seed script, and environment template shall be maintained.</t>
  </si>
  <si>
    <t xml:space="preserve">Non-Functional (Quality / Maintainability)</t>
  </si>
  <si>
    <t xml:space="preserve">Testing &amp; Documentation</t>
  </si>
  <si>
    <t xml:space="preserve">Tester</t>
  </si>
  <si>
    <t xml:space="preserve">Backend, Frontend, AI, Security</t>
  </si>
  <si>
    <t xml:space="preserve">CI runs all test types, and the documents listed exist in the repository.</t>
  </si>
  <si>
    <t xml:space="preserve">SCH Project 4 - Requirements Summary</t>
  </si>
  <si>
    <t xml:space="preserve">Count by type / priority</t>
  </si>
  <si>
    <t xml:space="preserve">Count</t>
  </si>
  <si>
    <t xml:space="preserve">Note</t>
  </si>
  <si>
    <t xml:space="preserve">Non-Functional</t>
  </si>
  <si>
    <t xml:space="preserve">Total</t>
  </si>
  <si>
    <t xml:space="preserve">FR-06 and FR-09: build after all Must items, but the acceptance scenario tests them, so test them like Must.</t>
  </si>
  <si>
    <t xml:space="preserve">Count by Primary Team</t>
  </si>
  <si>
    <t xml:space="preserve">Out of Scope</t>
  </si>
  <si>
    <t xml:space="preserve">- Automatic enrollment, grading, attendance capture, or payroll.</t>
  </si>
  <si>
    <t xml:space="preserve">- Mathematically optimal university-wide scheduling in the MVP.</t>
  </si>
  <si>
    <t xml:space="preserve">- Replacing calendar/email platforms (simple calendar export is enough).</t>
  </si>
  <si>
    <t xml:space="preserve">- Stretch items: whole-schedule optimization, drag-and-drop grid, calendar sync, preference learning, mobile notifications.</t>
  </si>
  <si>
    <t xml:space="preserve">Sources: SCH Project 4 brief (v1.1) and 00_START_HERE Common Pack (Common NFRs, Definition of Done).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</si>
</sst>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7325C"/>
      <name val="Arial"/>
      <family val="0"/>
      <charset val="1"/>
    </font>
    <font>
      <b val="true"/>
      <sz val="12"/>
      <color rgb="FF17325C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5C"/>
        <bgColor rgb="FF333333"/>
      </patternFill>
    </fill>
    <fill>
      <patternFill patternType="solid">
        <fgColor rgb="FFEAF1FB"/>
        <bgColor rgb="FFFFFFFF"/>
      </patternFill>
    </fill>
    <fill>
      <patternFill patternType="solid">
        <fgColor rgb="FFFFFFFF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6"/>
      </left>
      <right style="thin">
        <color rgb="FFB8C4D6"/>
      </right>
      <top style="thin">
        <color rgb="FFB8C4D6"/>
      </top>
      <bottom style="thin">
        <color rgb="FFB8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25C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6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0"/>
    <col collapsed="false" customWidth="true" hidden="false" outlineLevel="0" max="4" min="3" style="0" width="2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4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1.5" hidden="false" customHeight="tru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4" t="s">
        <v>14</v>
      </c>
      <c r="H2" s="3" t="s">
        <v>15</v>
      </c>
    </row>
    <row r="3" customFormat="false" ht="45.75" hidden="false" customHeight="true" outlineLevel="0" collapsed="false">
      <c r="A3" s="2" t="s">
        <v>16</v>
      </c>
      <c r="B3" s="3" t="s">
        <v>17</v>
      </c>
      <c r="C3" s="3" t="s">
        <v>10</v>
      </c>
      <c r="D3" s="3" t="s">
        <v>18</v>
      </c>
      <c r="E3" s="4" t="s">
        <v>12</v>
      </c>
      <c r="F3" s="3" t="s">
        <v>13</v>
      </c>
      <c r="G3" s="4" t="s">
        <v>14</v>
      </c>
      <c r="H3" s="3" t="s">
        <v>19</v>
      </c>
    </row>
    <row r="4" customFormat="false" ht="60" hidden="false" customHeight="true" outlineLevel="0" collapsed="false">
      <c r="A4" s="2" t="s">
        <v>20</v>
      </c>
      <c r="B4" s="3" t="s">
        <v>21</v>
      </c>
      <c r="C4" s="3" t="s">
        <v>10</v>
      </c>
      <c r="D4" s="3" t="s">
        <v>22</v>
      </c>
      <c r="E4" s="4" t="s">
        <v>12</v>
      </c>
      <c r="F4" s="3" t="s">
        <v>23</v>
      </c>
      <c r="G4" s="4" t="s">
        <v>14</v>
      </c>
      <c r="H4" s="3" t="s">
        <v>24</v>
      </c>
    </row>
    <row r="5" customFormat="false" ht="31.5" hidden="false" customHeight="true" outlineLevel="0" collapsed="false">
      <c r="A5" s="2" t="s">
        <v>25</v>
      </c>
      <c r="B5" s="3" t="s">
        <v>26</v>
      </c>
      <c r="C5" s="3" t="s">
        <v>10</v>
      </c>
      <c r="D5" s="3" t="s">
        <v>27</v>
      </c>
      <c r="E5" s="4" t="s">
        <v>12</v>
      </c>
      <c r="F5" s="3" t="s">
        <v>13</v>
      </c>
      <c r="G5" s="4" t="s">
        <v>14</v>
      </c>
      <c r="H5" s="3" t="s">
        <v>28</v>
      </c>
    </row>
    <row r="6" customFormat="false" ht="45.75" hidden="false" customHeight="true" outlineLevel="0" collapsed="false">
      <c r="A6" s="2" t="s">
        <v>29</v>
      </c>
      <c r="B6" s="3" t="s">
        <v>30</v>
      </c>
      <c r="C6" s="3" t="s">
        <v>10</v>
      </c>
      <c r="D6" s="3" t="s">
        <v>31</v>
      </c>
      <c r="E6" s="4" t="s">
        <v>32</v>
      </c>
      <c r="F6" s="3" t="s">
        <v>33</v>
      </c>
      <c r="G6" s="4" t="s">
        <v>14</v>
      </c>
      <c r="H6" s="3" t="s">
        <v>34</v>
      </c>
    </row>
    <row r="7" customFormat="false" ht="60" hidden="false" customHeight="true" outlineLevel="0" collapsed="false">
      <c r="A7" s="2" t="s">
        <v>35</v>
      </c>
      <c r="B7" s="3" t="s">
        <v>36</v>
      </c>
      <c r="C7" s="3" t="s">
        <v>10</v>
      </c>
      <c r="D7" s="3" t="s">
        <v>37</v>
      </c>
      <c r="E7" s="4" t="s">
        <v>32</v>
      </c>
      <c r="F7" s="3" t="s">
        <v>33</v>
      </c>
      <c r="G7" s="4" t="s">
        <v>38</v>
      </c>
      <c r="H7" s="3" t="s">
        <v>39</v>
      </c>
    </row>
    <row r="8" customFormat="false" ht="31.5" hidden="false" customHeight="true" outlineLevel="0" collapsed="false">
      <c r="A8" s="2" t="s">
        <v>40</v>
      </c>
      <c r="B8" s="3" t="s">
        <v>41</v>
      </c>
      <c r="C8" s="3" t="s">
        <v>10</v>
      </c>
      <c r="D8" s="3" t="s">
        <v>42</v>
      </c>
      <c r="E8" s="4" t="s">
        <v>12</v>
      </c>
      <c r="F8" s="3" t="s">
        <v>23</v>
      </c>
      <c r="G8" s="4" t="s">
        <v>14</v>
      </c>
      <c r="H8" s="3" t="s">
        <v>43</v>
      </c>
    </row>
    <row r="9" customFormat="false" ht="31.5" hidden="false" customHeight="true" outlineLevel="0" collapsed="false">
      <c r="A9" s="2" t="s">
        <v>44</v>
      </c>
      <c r="B9" s="3" t="s">
        <v>45</v>
      </c>
      <c r="C9" s="3" t="s">
        <v>10</v>
      </c>
      <c r="D9" s="3" t="s">
        <v>46</v>
      </c>
      <c r="E9" s="4" t="s">
        <v>47</v>
      </c>
      <c r="F9" s="3" t="s">
        <v>48</v>
      </c>
      <c r="G9" s="4" t="s">
        <v>14</v>
      </c>
      <c r="H9" s="3" t="s">
        <v>49</v>
      </c>
    </row>
    <row r="10" customFormat="false" ht="31.5" hidden="false" customHeight="true" outlineLevel="0" collapsed="false">
      <c r="A10" s="2" t="s">
        <v>50</v>
      </c>
      <c r="B10" s="3" t="s">
        <v>51</v>
      </c>
      <c r="C10" s="3" t="s">
        <v>10</v>
      </c>
      <c r="D10" s="3" t="s">
        <v>52</v>
      </c>
      <c r="E10" s="4" t="s">
        <v>12</v>
      </c>
      <c r="F10" s="3" t="s">
        <v>13</v>
      </c>
      <c r="G10" s="4" t="s">
        <v>38</v>
      </c>
      <c r="H10" s="3" t="s">
        <v>53</v>
      </c>
    </row>
    <row r="11" customFormat="false" ht="60" hidden="false" customHeight="true" outlineLevel="0" collapsed="false">
      <c r="A11" s="2" t="s">
        <v>54</v>
      </c>
      <c r="B11" s="3" t="s">
        <v>55</v>
      </c>
      <c r="C11" s="3" t="s">
        <v>10</v>
      </c>
      <c r="D11" s="3" t="s">
        <v>56</v>
      </c>
      <c r="E11" s="4" t="s">
        <v>12</v>
      </c>
      <c r="F11" s="3" t="s">
        <v>13</v>
      </c>
      <c r="G11" s="4" t="s">
        <v>14</v>
      </c>
      <c r="H11" s="3" t="s">
        <v>57</v>
      </c>
    </row>
    <row r="12" customFormat="false" ht="73.5" hidden="false" customHeight="true" outlineLevel="0" collapsed="false">
      <c r="A12" s="5" t="s">
        <v>58</v>
      </c>
      <c r="B12" s="6" t="s">
        <v>59</v>
      </c>
      <c r="C12" s="6" t="s">
        <v>60</v>
      </c>
      <c r="D12" s="6" t="s">
        <v>61</v>
      </c>
      <c r="E12" s="7" t="s">
        <v>12</v>
      </c>
      <c r="F12" s="6" t="s">
        <v>62</v>
      </c>
      <c r="G12" s="7" t="s">
        <v>14</v>
      </c>
      <c r="H12" s="6" t="s">
        <v>63</v>
      </c>
    </row>
    <row r="13" customFormat="false" ht="31.5" hidden="false" customHeight="true" outlineLevel="0" collapsed="false">
      <c r="A13" s="5" t="s">
        <v>64</v>
      </c>
      <c r="B13" s="6" t="s">
        <v>65</v>
      </c>
      <c r="C13" s="6" t="s">
        <v>66</v>
      </c>
      <c r="D13" s="6" t="s">
        <v>67</v>
      </c>
      <c r="E13" s="7" t="s">
        <v>68</v>
      </c>
      <c r="F13" s="6" t="s">
        <v>69</v>
      </c>
      <c r="G13" s="7" t="s">
        <v>14</v>
      </c>
      <c r="H13" s="6" t="s">
        <v>70</v>
      </c>
    </row>
    <row r="14" customFormat="false" ht="60" hidden="false" customHeight="true" outlineLevel="0" collapsed="false">
      <c r="A14" s="5" t="s">
        <v>71</v>
      </c>
      <c r="B14" s="6" t="s">
        <v>72</v>
      </c>
      <c r="C14" s="6" t="s">
        <v>73</v>
      </c>
      <c r="D14" s="6" t="s">
        <v>74</v>
      </c>
      <c r="E14" s="7" t="s">
        <v>12</v>
      </c>
      <c r="F14" s="6" t="s">
        <v>75</v>
      </c>
      <c r="G14" s="7" t="s">
        <v>14</v>
      </c>
      <c r="H14" s="6" t="s">
        <v>76</v>
      </c>
    </row>
    <row r="15" customFormat="false" ht="31.5" hidden="false" customHeight="true" outlineLevel="0" collapsed="false">
      <c r="A15" s="5" t="s">
        <v>77</v>
      </c>
      <c r="B15" s="6" t="s">
        <v>78</v>
      </c>
      <c r="C15" s="6" t="s">
        <v>60</v>
      </c>
      <c r="D15" s="6" t="s">
        <v>79</v>
      </c>
      <c r="E15" s="7" t="s">
        <v>68</v>
      </c>
      <c r="F15" s="6" t="s">
        <v>69</v>
      </c>
      <c r="G15" s="7" t="s">
        <v>14</v>
      </c>
      <c r="H15" s="6" t="s">
        <v>80</v>
      </c>
    </row>
    <row r="16" customFormat="false" ht="60" hidden="false" customHeight="true" outlineLevel="0" collapsed="false">
      <c r="A16" s="5" t="s">
        <v>81</v>
      </c>
      <c r="B16" s="6" t="s">
        <v>82</v>
      </c>
      <c r="C16" s="6" t="s">
        <v>60</v>
      </c>
      <c r="D16" s="6" t="s">
        <v>83</v>
      </c>
      <c r="E16" s="7" t="s">
        <v>68</v>
      </c>
      <c r="F16" s="6" t="s">
        <v>12</v>
      </c>
      <c r="G16" s="7" t="s">
        <v>14</v>
      </c>
      <c r="H16" s="6" t="s">
        <v>84</v>
      </c>
    </row>
    <row r="17" customFormat="false" ht="45.75" hidden="false" customHeight="true" outlineLevel="0" collapsed="false">
      <c r="A17" s="5" t="s">
        <v>85</v>
      </c>
      <c r="B17" s="6" t="s">
        <v>86</v>
      </c>
      <c r="C17" s="6" t="s">
        <v>87</v>
      </c>
      <c r="D17" s="6" t="s">
        <v>88</v>
      </c>
      <c r="E17" s="7" t="s">
        <v>12</v>
      </c>
      <c r="F17" s="6" t="s">
        <v>89</v>
      </c>
      <c r="G17" s="7" t="s">
        <v>14</v>
      </c>
      <c r="H17" s="6" t="s">
        <v>90</v>
      </c>
    </row>
    <row r="18" customFormat="false" ht="60" hidden="false" customHeight="true" outlineLevel="0" collapsed="false">
      <c r="A18" s="5" t="s">
        <v>91</v>
      </c>
      <c r="B18" s="6" t="s">
        <v>92</v>
      </c>
      <c r="C18" s="6" t="s">
        <v>93</v>
      </c>
      <c r="D18" s="6" t="s">
        <v>31</v>
      </c>
      <c r="E18" s="7" t="s">
        <v>32</v>
      </c>
      <c r="F18" s="6" t="s">
        <v>94</v>
      </c>
      <c r="G18" s="7" t="s">
        <v>14</v>
      </c>
      <c r="H18" s="6" t="s">
        <v>95</v>
      </c>
    </row>
    <row r="19" customFormat="false" ht="45.75" hidden="false" customHeight="true" outlineLevel="0" collapsed="false">
      <c r="A19" s="5" t="s">
        <v>96</v>
      </c>
      <c r="B19" s="6" t="s">
        <v>97</v>
      </c>
      <c r="C19" s="6" t="s">
        <v>98</v>
      </c>
      <c r="D19" s="6" t="s">
        <v>99</v>
      </c>
      <c r="E19" s="7" t="s">
        <v>12</v>
      </c>
      <c r="F19" s="6" t="s">
        <v>100</v>
      </c>
      <c r="G19" s="7" t="s">
        <v>14</v>
      </c>
      <c r="H19" s="6" t="s">
        <v>101</v>
      </c>
    </row>
    <row r="20" customFormat="false" ht="60" hidden="false" customHeight="true" outlineLevel="0" collapsed="false">
      <c r="A20" s="5" t="s">
        <v>102</v>
      </c>
      <c r="B20" s="6" t="s">
        <v>103</v>
      </c>
      <c r="C20" s="6" t="s">
        <v>104</v>
      </c>
      <c r="D20" s="6" t="s">
        <v>105</v>
      </c>
      <c r="E20" s="7" t="s">
        <v>68</v>
      </c>
      <c r="F20" s="6" t="s">
        <v>106</v>
      </c>
      <c r="G20" s="7" t="s">
        <v>14</v>
      </c>
      <c r="H20" s="6" t="s">
        <v>107</v>
      </c>
    </row>
    <row r="21" customFormat="false" ht="60" hidden="false" customHeight="true" outlineLevel="0" collapsed="false">
      <c r="A21" s="5" t="s">
        <v>108</v>
      </c>
      <c r="B21" s="6" t="s">
        <v>109</v>
      </c>
      <c r="C21" s="6" t="s">
        <v>110</v>
      </c>
      <c r="D21" s="6" t="s">
        <v>37</v>
      </c>
      <c r="E21" s="7" t="s">
        <v>32</v>
      </c>
      <c r="F21" s="6" t="s">
        <v>12</v>
      </c>
      <c r="G21" s="7" t="s">
        <v>14</v>
      </c>
      <c r="H21" s="6" t="s">
        <v>111</v>
      </c>
    </row>
    <row r="22" customFormat="false" ht="31.5" hidden="false" customHeight="true" outlineLevel="0" collapsed="false">
      <c r="A22" s="5" t="s">
        <v>112</v>
      </c>
      <c r="B22" s="6" t="s">
        <v>113</v>
      </c>
      <c r="C22" s="6" t="s">
        <v>114</v>
      </c>
      <c r="D22" s="6" t="s">
        <v>115</v>
      </c>
      <c r="E22" s="7" t="s">
        <v>12</v>
      </c>
      <c r="F22" s="6" t="s">
        <v>116</v>
      </c>
      <c r="G22" s="7" t="s">
        <v>14</v>
      </c>
      <c r="H22" s="6" t="s">
        <v>117</v>
      </c>
    </row>
    <row r="23" customFormat="false" ht="45.75" hidden="false" customHeight="true" outlineLevel="0" collapsed="false">
      <c r="A23" s="5" t="s">
        <v>118</v>
      </c>
      <c r="B23" s="6" t="s">
        <v>119</v>
      </c>
      <c r="C23" s="6" t="s">
        <v>120</v>
      </c>
      <c r="D23" s="6" t="s">
        <v>121</v>
      </c>
      <c r="E23" s="7" t="s">
        <v>12</v>
      </c>
      <c r="F23" s="6" t="s">
        <v>68</v>
      </c>
      <c r="G23" s="7" t="s">
        <v>14</v>
      </c>
      <c r="H23" s="6" t="s">
        <v>122</v>
      </c>
    </row>
    <row r="24" customFormat="false" ht="31.5" hidden="false" customHeight="true" outlineLevel="0" collapsed="false">
      <c r="A24" s="5" t="s">
        <v>123</v>
      </c>
      <c r="B24" s="6" t="s">
        <v>124</v>
      </c>
      <c r="C24" s="6" t="s">
        <v>125</v>
      </c>
      <c r="D24" s="6" t="s">
        <v>126</v>
      </c>
      <c r="E24" s="7" t="s">
        <v>127</v>
      </c>
      <c r="F24" s="6" t="s">
        <v>47</v>
      </c>
      <c r="G24" s="7" t="s">
        <v>14</v>
      </c>
      <c r="H24" s="6" t="s">
        <v>128</v>
      </c>
    </row>
    <row r="25" customFormat="false" ht="60" hidden="false" customHeight="true" outlineLevel="0" collapsed="false">
      <c r="A25" s="5" t="s">
        <v>129</v>
      </c>
      <c r="B25" s="6" t="s">
        <v>130</v>
      </c>
      <c r="C25" s="6" t="s">
        <v>131</v>
      </c>
      <c r="D25" s="6" t="s">
        <v>132</v>
      </c>
      <c r="E25" s="7" t="s">
        <v>133</v>
      </c>
      <c r="F25" s="6" t="s">
        <v>134</v>
      </c>
      <c r="G25" s="7" t="s">
        <v>14</v>
      </c>
      <c r="H25" s="6" t="s">
        <v>135</v>
      </c>
    </row>
  </sheetData>
  <autoFilter ref="A1:H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8" t="s">
        <v>136</v>
      </c>
    </row>
    <row r="3" customFormat="false" ht="15" hidden="false" customHeight="false" outlineLevel="0" collapsed="false">
      <c r="A3" s="9" t="s">
        <v>137</v>
      </c>
      <c r="B3" s="9" t="s">
        <v>138</v>
      </c>
      <c r="C3" s="9" t="s">
        <v>139</v>
      </c>
    </row>
    <row r="4" customFormat="false" ht="15" hidden="false" customHeight="false" outlineLevel="0" collapsed="false">
      <c r="A4" s="10" t="s">
        <v>10</v>
      </c>
      <c r="B4" s="11" t="n">
        <f aca="false">COUNTIF(Requirements!$C$2:$C$25,"Functional")</f>
        <v>10</v>
      </c>
    </row>
    <row r="5" customFormat="false" ht="15" hidden="false" customHeight="false" outlineLevel="0" collapsed="false">
      <c r="A5" s="10" t="s">
        <v>140</v>
      </c>
      <c r="B5" s="11" t="n">
        <f aca="false">COUNTIF(Requirements!$C$2:$C$25,"Non-Functional*")</f>
        <v>14</v>
      </c>
    </row>
    <row r="6" customFormat="false" ht="15" hidden="false" customHeight="false" outlineLevel="0" collapsed="false">
      <c r="A6" s="12" t="s">
        <v>141</v>
      </c>
      <c r="B6" s="13" t="n">
        <f aca="false">B4+B5</f>
        <v>24</v>
      </c>
    </row>
    <row r="7" customFormat="false" ht="15" hidden="false" customHeight="false" outlineLevel="0" collapsed="false">
      <c r="A7" s="10" t="s">
        <v>14</v>
      </c>
      <c r="B7" s="11" t="n">
        <f aca="false">COUNTIF(Requirements!$G$2:$G$25,"Must")</f>
        <v>22</v>
      </c>
    </row>
    <row r="8" customFormat="false" ht="23.85" hidden="false" customHeight="false" outlineLevel="0" collapsed="false">
      <c r="A8" s="10" t="s">
        <v>38</v>
      </c>
      <c r="B8" s="11" t="n">
        <f aca="false">COUNTIF(Requirements!$G$2:$G$25,"Should")</f>
        <v>2</v>
      </c>
      <c r="C8" s="14" t="s">
        <v>142</v>
      </c>
    </row>
    <row r="10" customFormat="false" ht="15" hidden="false" customHeight="false" outlineLevel="0" collapsed="false">
      <c r="A10" s="9" t="s">
        <v>143</v>
      </c>
      <c r="B10" s="9" t="s">
        <v>138</v>
      </c>
      <c r="C10" s="9"/>
    </row>
    <row r="11" customFormat="false" ht="15" hidden="false" customHeight="false" outlineLevel="0" collapsed="false">
      <c r="A11" s="10" t="s">
        <v>12</v>
      </c>
      <c r="B11" s="11" t="n">
        <f aca="false">COUNTIF(Requirements!$E$2:$E$25,"Backend")</f>
        <v>13</v>
      </c>
    </row>
    <row r="12" customFormat="false" ht="15" hidden="false" customHeight="false" outlineLevel="0" collapsed="false">
      <c r="A12" s="10" t="s">
        <v>32</v>
      </c>
      <c r="B12" s="11" t="n">
        <f aca="false">COUNTIF(Requirements!$E$2:$E$25,"AI")</f>
        <v>4</v>
      </c>
    </row>
    <row r="13" customFormat="false" ht="15" hidden="false" customHeight="false" outlineLevel="0" collapsed="false">
      <c r="A13" s="10" t="s">
        <v>47</v>
      </c>
      <c r="B13" s="11" t="n">
        <f aca="false">COUNTIF(Requirements!$E$2:$E$25,"Frontend")</f>
        <v>1</v>
      </c>
    </row>
    <row r="14" customFormat="false" ht="15" hidden="false" customHeight="false" outlineLevel="0" collapsed="false">
      <c r="A14" s="10" t="s">
        <v>127</v>
      </c>
      <c r="B14" s="11" t="n">
        <f aca="false">COUNTIF(Requirements!$E$2:$E$25,"UI/UX")</f>
        <v>1</v>
      </c>
    </row>
    <row r="15" customFormat="false" ht="15" hidden="false" customHeight="false" outlineLevel="0" collapsed="false">
      <c r="A15" s="10" t="s">
        <v>68</v>
      </c>
      <c r="B15" s="11" t="n">
        <f aca="false">COUNTIF(Requirements!$E$2:$E$25,"Security")</f>
        <v>4</v>
      </c>
    </row>
    <row r="16" customFormat="false" ht="15" hidden="false" customHeight="false" outlineLevel="0" collapsed="false">
      <c r="A16" s="10" t="s">
        <v>133</v>
      </c>
      <c r="B16" s="11" t="n">
        <f aca="false">COUNTIF(Requirements!$E$2:$E$25,"Tester")</f>
        <v>1</v>
      </c>
    </row>
    <row r="18" customFormat="false" ht="15" hidden="false" customHeight="false" outlineLevel="0" collapsed="false">
      <c r="A18" s="15" t="s">
        <v>144</v>
      </c>
    </row>
    <row r="19" customFormat="false" ht="27.75" hidden="false" customHeight="true" outlineLevel="0" collapsed="false">
      <c r="A19" s="16" t="s">
        <v>145</v>
      </c>
      <c r="B19" s="16"/>
      <c r="C19" s="16"/>
    </row>
    <row r="20" customFormat="false" ht="27.75" hidden="false" customHeight="true" outlineLevel="0" collapsed="false">
      <c r="A20" s="16" t="s">
        <v>146</v>
      </c>
      <c r="B20" s="16"/>
      <c r="C20" s="16"/>
    </row>
    <row r="21" customFormat="false" ht="27.75" hidden="false" customHeight="true" outlineLevel="0" collapsed="false">
      <c r="A21" s="16" t="s">
        <v>147</v>
      </c>
      <c r="B21" s="16"/>
      <c r="C21" s="16"/>
    </row>
    <row r="22" customFormat="false" ht="27.75" hidden="false" customHeight="true" outlineLevel="0" collapsed="false">
      <c r="A22" s="16" t="s">
        <v>148</v>
      </c>
      <c r="B22" s="16"/>
      <c r="C22" s="16"/>
    </row>
    <row r="24" customFormat="false" ht="15" hidden="false" customHeight="false" outlineLevel="0" collapsed="false">
      <c r="A24" s="17" t="s">
        <v>149</v>
      </c>
      <c r="B24" s="17"/>
      <c r="C24" s="17"/>
    </row>
  </sheetData>
  <mergeCells count="5">
    <mergeCell ref="A19:C19"/>
    <mergeCell ref="A20:C20"/>
    <mergeCell ref="A21:C21"/>
    <mergeCell ref="A22:C2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2026-09-20T22:54:12Z</dcterms:created>
  <dc:creator>openpyxl</dc:creator>
  <dc:description/>
  <dc:language>en-US</dc:language>
  <cp:lastModifiedBy/>
  <dcterms:modified xsi:type="dcterms:W3CDTF">2026-09-20T22:54:12Z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